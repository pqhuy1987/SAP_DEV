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y_ng\Desktop\FDC_B1\R_BCTC\"/>
    </mc:Choice>
  </mc:AlternateContent>
  <bookViews>
    <workbookView xWindow="0" yWindow="0" windowWidth="23040" windowHeight="9045" firstSheet="1" activeTab="1"/>
  </bookViews>
  <sheets>
    <sheet name="Sheet1" sheetId="1" state="hidden" r:id="rId1"/>
    <sheet name="THEO DOI HAO HUT THEO HANG MUC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34" i="1"/>
  <c r="E33" i="1"/>
  <c r="D33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 s="1"/>
  <c r="E17" i="1"/>
  <c r="D17" i="1"/>
  <c r="G16" i="1"/>
  <c r="G15" i="1"/>
  <c r="G14" i="1" s="1"/>
  <c r="E14" i="1"/>
  <c r="D14" i="1"/>
  <c r="G13" i="1"/>
  <c r="I9" i="1"/>
  <c r="G10" i="1"/>
  <c r="G9" i="1" s="1"/>
  <c r="E9" i="1"/>
  <c r="E41" i="1" s="1"/>
  <c r="D9" i="1"/>
  <c r="D41" i="1" s="1"/>
  <c r="G33" i="1" l="1"/>
  <c r="G41" i="1" s="1"/>
  <c r="O41" i="1" l="1"/>
  <c r="C44" i="1"/>
  <c r="C45" i="1" s="1"/>
  <c r="F41" i="1"/>
</calcChain>
</file>

<file path=xl/sharedStrings.xml><?xml version="1.0" encoding="utf-8"?>
<sst xmlns="http://schemas.openxmlformats.org/spreadsheetml/2006/main" count="173" uniqueCount="129">
  <si>
    <t xml:space="preserve">Tên Dự án: </t>
  </si>
  <si>
    <t>Mã dự án :</t>
  </si>
  <si>
    <t xml:space="preserve">Ngày/ tháng: </t>
  </si>
  <si>
    <t>Số tham khảo:</t>
  </si>
  <si>
    <t>BẢNG TỔNG HỢP THEO DÕI THÉP ĐẾN THÁNG 6</t>
  </si>
  <si>
    <t>STT</t>
  </si>
  <si>
    <t>Hạng mục</t>
  </si>
  <si>
    <t>Dữ liệu đầu dự án</t>
  </si>
  <si>
    <t>Tình trạng sử dụng thép</t>
  </si>
  <si>
    <t>Khối lượng hao hụt thép</t>
  </si>
  <si>
    <t>CODE</t>
  </si>
  <si>
    <t>A</t>
  </si>
  <si>
    <t>B</t>
  </si>
  <si>
    <t>C</t>
  </si>
  <si>
    <t>D</t>
  </si>
  <si>
    <t>E</t>
  </si>
  <si>
    <t>F</t>
  </si>
  <si>
    <t>G</t>
  </si>
  <si>
    <t>H</t>
  </si>
  <si>
    <t>D1</t>
  </si>
  <si>
    <t>D2</t>
  </si>
  <si>
    <t>D3</t>
  </si>
  <si>
    <t>Khối lượng thép tính toán theo P. ĐT &amp; TVKT</t>
  </si>
  <si>
    <t>Khối lượng details của 
BCH CT</t>
  </si>
  <si>
    <t>Đánh giá % khối lượng thép đến hiện tại</t>
  </si>
  <si>
    <t>Đánh giá khối lượng thép đến hiện tại</t>
  </si>
  <si>
    <t>Khối lượng thép nhập về</t>
  </si>
  <si>
    <t>Khối lượng thép cây/cuộn nguyên còn tồn.</t>
  </si>
  <si>
    <t>Khối lượng thép cây lẻ chiều dài từ 2-10m còn tồn.</t>
  </si>
  <si>
    <t>Khối lượng thép vụn không sử dụng được trên công trình</t>
  </si>
  <si>
    <t>Khối lượng thép vụn bán thanh lý</t>
  </si>
  <si>
    <t>Thép biện pháp không lấy được tiền với chủ đầu tư</t>
  </si>
  <si>
    <t>Thép dư đã lắp dựng so với thiết kế</t>
  </si>
  <si>
    <t>Thép hao hụt không rõ nguyên nhân</t>
  </si>
  <si>
    <t>Lấy từ cây dự án đấu thầu (BoQ)</t>
  </si>
  <si>
    <t>Lấy từ cây dự án phiên bản dự án nếu có dữ liệu, nếu không có dữ liệu lấy từ cây dự án phòng đầu thầu</t>
  </si>
  <si>
    <t>Lấy từ cây dự án (Complete từng hạn mục)</t>
  </si>
  <si>
    <t>A/P purchasing -&gt; Good Receipt PO</t>
  </si>
  <si>
    <t>Kiểm kê</t>
  </si>
  <si>
    <t>Xuất kho bán thép vụn</t>
  </si>
  <si>
    <t>Xuất kho thép biện pháp</t>
  </si>
  <si>
    <t>I</t>
  </si>
  <si>
    <t>Cọc nhồi</t>
  </si>
  <si>
    <t>1</t>
  </si>
  <si>
    <t>Cốt thép đường kính D6-D8/CT3 (C240T)</t>
  </si>
  <si>
    <t>cọc nhồi</t>
  </si>
  <si>
    <t>NCM</t>
  </si>
  <si>
    <t>NTP A</t>
  </si>
  <si>
    <t>hợp đồng</t>
  </si>
  <si>
    <t>Khối lượng thép xuất cho NTP, BCH</t>
  </si>
  <si>
    <t>BCH</t>
  </si>
  <si>
    <t>hợp đồng gia công</t>
  </si>
  <si>
    <t>2</t>
  </si>
  <si>
    <t>Cốt thép đường kính D10-D32/CB500</t>
  </si>
  <si>
    <t>II</t>
  </si>
  <si>
    <t>Kết cấu móng</t>
  </si>
  <si>
    <t>móng, dầm giằng</t>
  </si>
  <si>
    <t>III</t>
  </si>
  <si>
    <t>Kết cấu hầm</t>
  </si>
  <si>
    <t>Cột vách</t>
  </si>
  <si>
    <t>3</t>
  </si>
  <si>
    <t>Hầm 2</t>
  </si>
  <si>
    <t>4</t>
  </si>
  <si>
    <t>5</t>
  </si>
  <si>
    <t>Hầm 1</t>
  </si>
  <si>
    <t>6</t>
  </si>
  <si>
    <t>7</t>
  </si>
  <si>
    <t>Trệt</t>
  </si>
  <si>
    <t>8</t>
  </si>
  <si>
    <t xml:space="preserve"> </t>
  </si>
  <si>
    <t>9</t>
  </si>
  <si>
    <t>Cầu thang</t>
  </si>
  <si>
    <t>10</t>
  </si>
  <si>
    <t>11</t>
  </si>
  <si>
    <t>Các loại bể, bao gồm hồ bơi tầng trệt</t>
  </si>
  <si>
    <t>12</t>
  </si>
  <si>
    <t>13</t>
  </si>
  <si>
    <t>Ram dốc</t>
  </si>
  <si>
    <t>14</t>
  </si>
  <si>
    <t>IV</t>
  </si>
  <si>
    <t>Kết cấu thân</t>
  </si>
  <si>
    <t>Cột vách từ tầng 1 đến tầng mái</t>
  </si>
  <si>
    <t>Dầm sàn từ tầng 2 -mái</t>
  </si>
  <si>
    <t>Cầu thang từ tầng 1 đến tầng mái</t>
  </si>
  <si>
    <t>Tổng (kg)</t>
  </si>
  <si>
    <t xml:space="preserve">Tổng khối lượng thép hao hụt và thất thoát : </t>
  </si>
  <si>
    <t>(E-F-G)-D+H</t>
  </si>
  <si>
    <t>kg</t>
  </si>
  <si>
    <t xml:space="preserve"> Phần trăm hao hụt khối lượng nhập là :                                                                            </t>
  </si>
  <si>
    <t>Ghi chú:</t>
  </si>
  <si>
    <t>Hao hụt này giải trình sẽ có 3 loại:</t>
  </si>
  <si>
    <t>_ Thép vụn bán thanh lý</t>
  </si>
  <si>
    <t>_ Thép biện pháp</t>
  </si>
  <si>
    <t>_ Thép mất không lý do</t>
  </si>
  <si>
    <t>GS Quản lý thép</t>
  </si>
  <si>
    <t>Chỉ huy trưởng</t>
  </si>
  <si>
    <t>Ban Kiểm soát chi phí &amp; hợp đồng</t>
  </si>
  <si>
    <t>Đầu dự án</t>
  </si>
  <si>
    <t>Đánh giá % KL đến hiện tại</t>
  </si>
  <si>
    <t>Đánh giá KL đến hiện tại</t>
  </si>
  <si>
    <t>KL nhập về</t>
  </si>
  <si>
    <t>KL nguyên còn tồn</t>
  </si>
  <si>
    <t>Mã công tác</t>
  </si>
  <si>
    <t>Hạng mục công tác</t>
  </si>
  <si>
    <t>ĐVT</t>
  </si>
  <si>
    <t>KL đấu thầu</t>
  </si>
  <si>
    <t>KL công trường</t>
  </si>
  <si>
    <t>KL vụn và thanh lý</t>
  </si>
  <si>
    <t>Lấy từ cây dự án (4)</t>
  </si>
  <si>
    <t>Lấy từ cây dự án (5)</t>
  </si>
  <si>
    <t>Lấy từ GRPO (6)</t>
  </si>
  <si>
    <t>Công trường đánh giá (7)</t>
  </si>
  <si>
    <t>Công trường kiểm kê (9)</t>
  </si>
  <si>
    <t>Công trường đánh giá (10)</t>
  </si>
  <si>
    <t>(12)=0,7*(10)+(11)</t>
  </si>
  <si>
    <t>(8)=(7)*(5)</t>
  </si>
  <si>
    <t>(0)</t>
  </si>
  <si>
    <t>(1)</t>
  </si>
  <si>
    <t>(2)</t>
  </si>
  <si>
    <t>(3)</t>
  </si>
  <si>
    <t>KL Hao hụt</t>
  </si>
  <si>
    <t>Khu căn hộ cao cấp Diamond Island - Giai đoạn 2</t>
  </si>
  <si>
    <t>25/06/2017</t>
  </si>
  <si>
    <t>DI2</t>
  </si>
  <si>
    <t>Mã dự án:</t>
  </si>
  <si>
    <t>Tên dự án:</t>
  </si>
  <si>
    <t>Ngày:</t>
  </si>
  <si>
    <t>TỔNG HỢP SỐ LIỆU THÉP
(Theo dõi hao hụt thép theo hạng mục)</t>
  </si>
  <si>
    <t>(11)=(6)-(8)-(9)-(10)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</si>
</sst>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1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8"/>
      <color rgb="FFFF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color rgb="FF00000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6">
    <xf numFmtId="0" fontId="0" fillId="0" borderId="0" xfId="0"/>
    <xf numFmtId="0" fontId="4" fillId="0" borderId="2" xfId="2" applyFont="1" applyBorder="1" applyAlignment="1">
      <alignment horizontal="left"/>
    </xf>
    <xf numFmtId="0" fontId="3" fillId="0" borderId="3" xfId="2" applyFont="1" applyBorder="1"/>
    <xf numFmtId="9" fontId="4" fillId="0" borderId="3" xfId="3" applyFont="1" applyBorder="1" applyAlignment="1"/>
    <xf numFmtId="0" fontId="4" fillId="0" borderId="3" xfId="2" applyFont="1" applyBorder="1" applyAlignment="1"/>
    <xf numFmtId="0" fontId="4" fillId="0" borderId="3" xfId="2" applyFont="1" applyBorder="1" applyAlignment="1">
      <alignment horizontal="left"/>
    </xf>
    <xf numFmtId="0" fontId="4" fillId="0" borderId="3" xfId="2" applyFont="1" applyBorder="1" applyAlignment="1">
      <alignment horizontal="center"/>
    </xf>
    <xf numFmtId="0" fontId="4" fillId="0" borderId="4" xfId="2" applyFont="1" applyBorder="1" applyAlignment="1">
      <alignment wrapText="1"/>
    </xf>
    <xf numFmtId="14" fontId="3" fillId="0" borderId="3" xfId="2" applyNumberFormat="1" applyFont="1" applyBorder="1"/>
    <xf numFmtId="0" fontId="4" fillId="0" borderId="4" xfId="2" applyFont="1" applyBorder="1" applyAlignment="1"/>
    <xf numFmtId="0" fontId="6" fillId="2" borderId="2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9" fontId="6" fillId="2" borderId="1" xfId="3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9" fontId="6" fillId="2" borderId="1" xfId="3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/>
    </xf>
    <xf numFmtId="0" fontId="6" fillId="2" borderId="9" xfId="2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9" fontId="6" fillId="2" borderId="5" xfId="3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0" borderId="14" xfId="2" applyFont="1" applyBorder="1"/>
    <xf numFmtId="0" fontId="6" fillId="0" borderId="14" xfId="2" applyFont="1" applyBorder="1" applyAlignment="1">
      <alignment horizontal="center" vertical="center" wrapText="1"/>
    </xf>
    <xf numFmtId="164" fontId="6" fillId="0" borderId="14" xfId="4" applyNumberFormat="1" applyFont="1" applyBorder="1"/>
    <xf numFmtId="9" fontId="4" fillId="0" borderId="14" xfId="3" applyFont="1" applyBorder="1"/>
    <xf numFmtId="164" fontId="4" fillId="0" borderId="14" xfId="4" applyNumberFormat="1" applyFont="1" applyBorder="1"/>
    <xf numFmtId="164" fontId="4" fillId="0" borderId="15" xfId="4" applyNumberFormat="1" applyFont="1" applyBorder="1"/>
    <xf numFmtId="0" fontId="3" fillId="0" borderId="16" xfId="2" applyFont="1" applyBorder="1" applyAlignment="1">
      <alignment horizontal="center" vertical="center"/>
    </xf>
    <xf numFmtId="0" fontId="4" fillId="0" borderId="17" xfId="2" applyFont="1" applyBorder="1"/>
    <xf numFmtId="164" fontId="4" fillId="0" borderId="17" xfId="4" applyNumberFormat="1" applyFont="1" applyBorder="1"/>
    <xf numFmtId="9" fontId="4" fillId="0" borderId="17" xfId="3" applyFont="1" applyBorder="1"/>
    <xf numFmtId="164" fontId="4" fillId="0" borderId="19" xfId="4" applyNumberFormat="1" applyFont="1" applyBorder="1"/>
    <xf numFmtId="164" fontId="4" fillId="0" borderId="17" xfId="4" applyNumberFormat="1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0" borderId="17" xfId="2" applyFont="1" applyBorder="1"/>
    <xf numFmtId="164" fontId="9" fillId="0" borderId="17" xfId="4" applyNumberFormat="1" applyFont="1" applyBorder="1"/>
    <xf numFmtId="9" fontId="9" fillId="0" borderId="17" xfId="3" applyFont="1" applyBorder="1"/>
    <xf numFmtId="164" fontId="6" fillId="0" borderId="1" xfId="4" applyNumberFormat="1" applyFont="1" applyBorder="1" applyAlignment="1">
      <alignment horizontal="center"/>
    </xf>
    <xf numFmtId="164" fontId="10" fillId="0" borderId="1" xfId="4" applyNumberFormat="1" applyFont="1" applyBorder="1" applyAlignment="1">
      <alignment horizontal="center"/>
    </xf>
    <xf numFmtId="164" fontId="9" fillId="0" borderId="19" xfId="4" applyNumberFormat="1" applyFont="1" applyBorder="1"/>
    <xf numFmtId="164" fontId="9" fillId="0" borderId="17" xfId="4" applyNumberFormat="1" applyFont="1" applyBorder="1" applyAlignment="1">
      <alignment horizontal="center" vertical="center"/>
    </xf>
    <xf numFmtId="0" fontId="4" fillId="0" borderId="17" xfId="2" applyFont="1" applyBorder="1" applyAlignment="1">
      <alignment horizontal="left" indent="1"/>
    </xf>
    <xf numFmtId="0" fontId="4" fillId="0" borderId="17" xfId="2" applyFont="1" applyBorder="1" applyAlignment="1">
      <alignment horizontal="center" vertical="center" wrapText="1"/>
    </xf>
    <xf numFmtId="0" fontId="7" fillId="0" borderId="1" xfId="2" applyFont="1" applyBorder="1"/>
    <xf numFmtId="0" fontId="6" fillId="0" borderId="1" xfId="2" applyFont="1" applyBorder="1" applyAlignment="1">
      <alignment wrapText="1"/>
    </xf>
    <xf numFmtId="0" fontId="6" fillId="0" borderId="1" xfId="2" applyFont="1" applyBorder="1" applyAlignment="1">
      <alignment horizontal="center" vertical="center" wrapText="1"/>
    </xf>
    <xf numFmtId="164" fontId="6" fillId="0" borderId="2" xfId="4" applyNumberFormat="1" applyFont="1" applyBorder="1" applyAlignment="1">
      <alignment horizontal="center"/>
    </xf>
    <xf numFmtId="9" fontId="6" fillId="0" borderId="1" xfId="3" applyFont="1" applyBorder="1" applyAlignment="1">
      <alignment horizontal="center"/>
    </xf>
    <xf numFmtId="0" fontId="3" fillId="0" borderId="0" xfId="2" applyFont="1"/>
    <xf numFmtId="0" fontId="4" fillId="0" borderId="0" xfId="2" applyFont="1"/>
    <xf numFmtId="0" fontId="4" fillId="0" borderId="0" xfId="2" applyFont="1" applyAlignment="1">
      <alignment horizontal="center" vertical="center" wrapText="1"/>
    </xf>
    <xf numFmtId="9" fontId="4" fillId="0" borderId="0" xfId="3" applyFont="1"/>
    <xf numFmtId="0" fontId="10" fillId="0" borderId="0" xfId="2" applyFont="1"/>
    <xf numFmtId="0" fontId="10" fillId="0" borderId="0" xfId="2" applyFont="1" applyAlignment="1">
      <alignment horizontal="center" vertical="center" wrapText="1"/>
    </xf>
    <xf numFmtId="164" fontId="4" fillId="0" borderId="0" xfId="2" applyNumberFormat="1" applyFont="1"/>
    <xf numFmtId="165" fontId="4" fillId="0" borderId="0" xfId="2" applyNumberFormat="1" applyFont="1"/>
    <xf numFmtId="0" fontId="10" fillId="0" borderId="0" xfId="2" applyFont="1" applyAlignment="1">
      <alignment wrapText="1"/>
    </xf>
    <xf numFmtId="164" fontId="10" fillId="0" borderId="0" xfId="2" applyNumberFormat="1" applyFont="1" applyAlignment="1">
      <alignment wrapText="1"/>
    </xf>
    <xf numFmtId="0" fontId="4" fillId="0" borderId="0" xfId="2" applyFont="1" applyAlignment="1">
      <alignment wrapText="1"/>
    </xf>
    <xf numFmtId="43" fontId="4" fillId="0" borderId="0" xfId="4" applyFont="1"/>
    <xf numFmtId="0" fontId="10" fillId="0" borderId="0" xfId="2" applyFont="1" applyAlignment="1"/>
    <xf numFmtId="10" fontId="10" fillId="0" borderId="0" xfId="1" applyNumberFormat="1" applyFont="1" applyAlignment="1">
      <alignment vertical="center" wrapText="1"/>
    </xf>
    <xf numFmtId="0" fontId="4" fillId="0" borderId="0" xfId="2" applyFont="1" applyAlignment="1"/>
    <xf numFmtId="9" fontId="4" fillId="0" borderId="0" xfId="3" applyFont="1" applyAlignment="1"/>
    <xf numFmtId="0" fontId="4" fillId="0" borderId="0" xfId="2" applyFont="1" applyAlignment="1">
      <alignment horizontal="right"/>
    </xf>
    <xf numFmtId="0" fontId="11" fillId="0" borderId="0" xfId="0" applyFont="1"/>
    <xf numFmtId="0" fontId="12" fillId="0" borderId="0" xfId="0" applyFont="1"/>
    <xf numFmtId="0" fontId="9" fillId="0" borderId="0" xfId="0" applyFont="1"/>
    <xf numFmtId="164" fontId="9" fillId="0" borderId="0" xfId="4" applyNumberFormat="1" applyFont="1"/>
    <xf numFmtId="9" fontId="6" fillId="0" borderId="0" xfId="3" applyFont="1"/>
    <xf numFmtId="0" fontId="6" fillId="0" borderId="0" xfId="2" applyFont="1"/>
    <xf numFmtId="0" fontId="6" fillId="0" borderId="0" xfId="2" applyFont="1" applyAlignment="1">
      <alignment horizontal="center"/>
    </xf>
    <xf numFmtId="0" fontId="3" fillId="0" borderId="0" xfId="0" applyFont="1"/>
    <xf numFmtId="0" fontId="0" fillId="0" borderId="0" xfId="0" applyFont="1"/>
    <xf numFmtId="0" fontId="17" fillId="4" borderId="11" xfId="0" quotePrefix="1" applyFont="1" applyFill="1" applyBorder="1" applyAlignment="1">
      <alignment horizontal="center" vertical="center" wrapText="1"/>
    </xf>
    <xf numFmtId="0" fontId="17" fillId="4" borderId="1" xfId="0" quotePrefix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164" fontId="16" fillId="3" borderId="1" xfId="5" applyNumberFormat="1" applyFont="1" applyFill="1" applyBorder="1" applyAlignment="1">
      <alignment horizontal="center" vertical="center" wrapText="1"/>
    </xf>
    <xf numFmtId="164" fontId="18" fillId="4" borderId="1" xfId="5" applyNumberFormat="1" applyFont="1" applyFill="1" applyBorder="1" applyAlignment="1">
      <alignment horizontal="center" vertical="center" wrapText="1"/>
    </xf>
    <xf numFmtId="164" fontId="3" fillId="0" borderId="0" xfId="5" applyNumberFormat="1" applyFont="1"/>
    <xf numFmtId="10" fontId="16" fillId="3" borderId="1" xfId="0" applyNumberFormat="1" applyFont="1" applyFill="1" applyBorder="1" applyAlignment="1">
      <alignment horizontal="center" vertical="center" wrapText="1"/>
    </xf>
    <xf numFmtId="10" fontId="18" fillId="4" borderId="1" xfId="0" applyNumberFormat="1" applyFont="1" applyFill="1" applyBorder="1" applyAlignment="1">
      <alignment horizontal="center" vertical="center" wrapText="1"/>
    </xf>
    <xf numFmtId="10" fontId="3" fillId="0" borderId="0" xfId="0" applyNumberFormat="1" applyFont="1"/>
    <xf numFmtId="164" fontId="3" fillId="0" borderId="0" xfId="5" applyNumberFormat="1" applyFont="1" applyAlignment="1">
      <alignment horizontal="center"/>
    </xf>
    <xf numFmtId="164" fontId="15" fillId="3" borderId="1" xfId="5" applyNumberFormat="1" applyFont="1" applyFill="1" applyBorder="1" applyAlignment="1">
      <alignment horizontal="center" vertical="center" wrapText="1"/>
    </xf>
    <xf numFmtId="164" fontId="17" fillId="4" borderId="11" xfId="5" quotePrefix="1" applyNumberFormat="1" applyFont="1" applyFill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0" fontId="6" fillId="2" borderId="5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6" fillId="2" borderId="11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9" xfId="2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11" xfId="2" applyFont="1" applyFill="1" applyBorder="1" applyAlignment="1">
      <alignment horizontal="center" vertical="center"/>
    </xf>
    <xf numFmtId="0" fontId="4" fillId="0" borderId="8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6" fillId="0" borderId="0" xfId="2" applyFont="1" applyAlignment="1">
      <alignment horizontal="center"/>
    </xf>
    <xf numFmtId="0" fontId="15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15" fillId="3" borderId="5" xfId="5" applyNumberFormat="1" applyFont="1" applyFill="1" applyBorder="1" applyAlignment="1">
      <alignment horizontal="center" vertical="center" wrapText="1"/>
    </xf>
    <xf numFmtId="164" fontId="15" fillId="3" borderId="11" xfId="5" applyNumberFormat="1" applyFont="1" applyFill="1" applyBorder="1" applyAlignment="1">
      <alignment horizontal="center" vertical="center" wrapText="1"/>
    </xf>
    <xf numFmtId="164" fontId="15" fillId="3" borderId="2" xfId="5" applyNumberFormat="1" applyFont="1" applyFill="1" applyBorder="1" applyAlignment="1">
      <alignment horizontal="center" vertical="center" wrapText="1"/>
    </xf>
    <xf numFmtId="164" fontId="15" fillId="3" borderId="3" xfId="5" applyNumberFormat="1" applyFont="1" applyFill="1" applyBorder="1" applyAlignment="1">
      <alignment horizontal="center" vertical="center" wrapText="1"/>
    </xf>
    <xf numFmtId="164" fontId="15" fillId="3" borderId="4" xfId="5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15" fillId="3" borderId="1" xfId="5" applyNumberFormat="1" applyFont="1" applyFill="1" applyBorder="1" applyAlignment="1">
      <alignment horizontal="center" vertical="center" wrapText="1"/>
    </xf>
  </cellXfs>
  <cellStyles count="6">
    <cellStyle name="Comma" xfId="5" builtinId="3"/>
    <cellStyle name="Comma 2" xfId="4"/>
    <cellStyle name="Normal" xfId="0" builtinId="0"/>
    <cellStyle name="Normal 10" xfId="2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1074420</xdr:colOff>
      <xdr:row>1</xdr:row>
      <xdr:rowOff>22860</xdr:rowOff>
    </xdr:from>
    <xdr:to>
      <xdr:col>1</xdr:col>
      <xdr:colOff>1912620</xdr:colOff>
      <xdr:row>3</xdr:row>
      <xdr:rowOff>45720</xdr:rowOff>
    </xdr:to>
    <xdr:pic>
      <xdr:nvPicPr>
        <xdr:cNvPr id="2" name="Picture 2" descr="1">
          <a:extLst>
            <a:ext uri="{FF2B5EF4-FFF2-40B4-BE49-F238E27FC236}">
              <a16:creationId xmlns:a16="http://schemas.microsoft.com/office/drawing/2014/main" id="{74C7F3CB-4B11-4D6A-8E45-5808658DA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460" y="198120"/>
          <a:ext cx="83820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</xdr:row>
      <xdr:rowOff>161925</xdr:rowOff>
    </xdr:from>
    <xdr:to>
      <xdr:col>1</xdr:col>
      <xdr:colOff>1266825</xdr:colOff>
      <xdr:row>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23875"/>
          <a:ext cx="156210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opLeftCell="A4" workbookViewId="0">
      <selection activeCell="C17" sqref="C17"/>
    </sheetView>
  </sheetViews>
  <sheetFormatPr defaultRowHeight="15" x14ac:dyDescent="0.25"/>
  <cols>
    <col min="2" max="2" width="66.28515625" bestFit="1" customWidth="1"/>
    <col min="3" max="3" width="11.85546875" customWidth="1"/>
    <col min="4" max="4" width="11.7109375" bestFit="1" customWidth="1"/>
    <col min="5" max="5" width="26.42578125" customWidth="1"/>
    <col min="6" max="6" width="11.140625" customWidth="1"/>
    <col min="7" max="7" width="12" customWidth="1"/>
    <col min="8" max="8" width="21" customWidth="1"/>
    <col min="9" max="9" width="12.28515625" customWidth="1"/>
    <col min="10" max="10" width="11.5703125" customWidth="1"/>
    <col min="11" max="11" width="12" customWidth="1"/>
    <col min="12" max="12" width="10.42578125" customWidth="1"/>
    <col min="13" max="13" width="10.85546875" customWidth="1"/>
    <col min="14" max="14" width="8.42578125" customWidth="1"/>
    <col min="15" max="15" width="8.140625" bestFit="1" customWidth="1"/>
    <col min="16" max="16" width="6" bestFit="1" customWidth="1"/>
  </cols>
  <sheetData>
    <row r="1" spans="1:16" x14ac:dyDescent="0.25">
      <c r="A1" s="92"/>
      <c r="B1" s="92"/>
      <c r="C1" s="92"/>
      <c r="D1" s="1" t="s">
        <v>0</v>
      </c>
      <c r="E1" s="2" t="s">
        <v>121</v>
      </c>
      <c r="F1" s="3"/>
      <c r="G1" s="4"/>
      <c r="H1" s="4"/>
      <c r="I1" s="4"/>
      <c r="J1" s="4"/>
      <c r="K1" s="5" t="s">
        <v>1</v>
      </c>
      <c r="L1" s="4" t="s">
        <v>123</v>
      </c>
      <c r="M1" s="4"/>
      <c r="N1" s="4"/>
      <c r="O1" s="6"/>
      <c r="P1" s="7"/>
    </row>
    <row r="2" spans="1:16" x14ac:dyDescent="0.25">
      <c r="A2" s="92"/>
      <c r="B2" s="92"/>
      <c r="C2" s="92"/>
      <c r="D2" s="1" t="s">
        <v>2</v>
      </c>
      <c r="E2" s="8" t="s">
        <v>122</v>
      </c>
      <c r="F2" s="3"/>
      <c r="G2" s="4"/>
      <c r="H2" s="4"/>
      <c r="I2" s="4"/>
      <c r="J2" s="4"/>
      <c r="K2" s="4"/>
      <c r="L2" s="4"/>
      <c r="M2" s="4"/>
      <c r="N2" s="4"/>
      <c r="O2" s="4"/>
      <c r="P2" s="9"/>
    </row>
    <row r="3" spans="1:16" x14ac:dyDescent="0.25">
      <c r="A3" s="92"/>
      <c r="B3" s="92"/>
      <c r="C3" s="92"/>
      <c r="D3" s="1" t="s">
        <v>3</v>
      </c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9"/>
    </row>
    <row r="4" spans="1:16" ht="18.75" x14ac:dyDescent="0.3">
      <c r="A4" s="92"/>
      <c r="B4" s="92"/>
      <c r="C4" s="92"/>
      <c r="D4" s="93" t="s">
        <v>4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5"/>
    </row>
    <row r="5" spans="1:16" x14ac:dyDescent="0.25">
      <c r="A5" s="96" t="s">
        <v>5</v>
      </c>
      <c r="B5" s="99" t="s">
        <v>6</v>
      </c>
      <c r="C5" s="100"/>
      <c r="D5" s="105" t="s">
        <v>7</v>
      </c>
      <c r="E5" s="106"/>
      <c r="F5" s="105" t="s">
        <v>8</v>
      </c>
      <c r="G5" s="106"/>
      <c r="H5" s="106"/>
      <c r="I5" s="106"/>
      <c r="J5" s="106"/>
      <c r="K5" s="107"/>
      <c r="L5" s="105" t="s">
        <v>9</v>
      </c>
      <c r="M5" s="106"/>
      <c r="N5" s="106"/>
      <c r="O5" s="107"/>
      <c r="P5" s="108" t="s">
        <v>10</v>
      </c>
    </row>
    <row r="6" spans="1:16" x14ac:dyDescent="0.25">
      <c r="A6" s="97"/>
      <c r="B6" s="101"/>
      <c r="C6" s="102"/>
      <c r="D6" s="10" t="s">
        <v>11</v>
      </c>
      <c r="E6" s="11" t="s">
        <v>12</v>
      </c>
      <c r="F6" s="12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15</v>
      </c>
      <c r="P6" s="109"/>
    </row>
    <row r="7" spans="1:16" ht="76.5" x14ac:dyDescent="0.25">
      <c r="A7" s="98"/>
      <c r="B7" s="103"/>
      <c r="C7" s="104"/>
      <c r="D7" s="13" t="s">
        <v>22</v>
      </c>
      <c r="E7" s="14" t="s">
        <v>23</v>
      </c>
      <c r="F7" s="15" t="s">
        <v>24</v>
      </c>
      <c r="G7" s="14" t="s">
        <v>25</v>
      </c>
      <c r="H7" s="14" t="s">
        <v>26</v>
      </c>
      <c r="I7" s="14" t="s">
        <v>27</v>
      </c>
      <c r="J7" s="14" t="s">
        <v>28</v>
      </c>
      <c r="K7" s="14" t="s">
        <v>29</v>
      </c>
      <c r="L7" s="14" t="s">
        <v>30</v>
      </c>
      <c r="M7" s="14" t="s">
        <v>31</v>
      </c>
      <c r="N7" s="14" t="s">
        <v>32</v>
      </c>
      <c r="O7" s="14" t="s">
        <v>33</v>
      </c>
      <c r="P7" s="110"/>
    </row>
    <row r="8" spans="1:16" ht="63.75" x14ac:dyDescent="0.25">
      <c r="A8" s="16"/>
      <c r="B8" s="17"/>
      <c r="C8" s="18"/>
      <c r="D8" s="19" t="s">
        <v>34</v>
      </c>
      <c r="E8" s="20" t="s">
        <v>35</v>
      </c>
      <c r="F8" s="21" t="s">
        <v>36</v>
      </c>
      <c r="G8" s="20"/>
      <c r="H8" s="20" t="s">
        <v>37</v>
      </c>
      <c r="I8" s="20" t="s">
        <v>38</v>
      </c>
      <c r="J8" s="20" t="s">
        <v>38</v>
      </c>
      <c r="K8" s="20" t="s">
        <v>38</v>
      </c>
      <c r="L8" s="20" t="s">
        <v>39</v>
      </c>
      <c r="M8" s="20" t="s">
        <v>40</v>
      </c>
      <c r="N8" s="20"/>
      <c r="O8" s="19"/>
      <c r="P8" s="22"/>
    </row>
    <row r="9" spans="1:16" x14ac:dyDescent="0.25">
      <c r="A9" s="23" t="s">
        <v>41</v>
      </c>
      <c r="B9" s="24" t="s">
        <v>42</v>
      </c>
      <c r="C9" s="25"/>
      <c r="D9" s="26">
        <f>SUBTOTAL(9,D10:D13)</f>
        <v>490514.4539238346</v>
      </c>
      <c r="E9" s="26">
        <f>SUBTOTAL(9,E10:E13)</f>
        <v>490514.4539238346</v>
      </c>
      <c r="F9" s="27"/>
      <c r="G9" s="26">
        <f>SUBTOTAL(9,G10:G13)</f>
        <v>490514.4539238346</v>
      </c>
      <c r="H9" s="28"/>
      <c r="I9" s="28">
        <f>SUM(I11:I12)</f>
        <v>113208.87239999999</v>
      </c>
      <c r="J9" s="28"/>
      <c r="K9" s="28"/>
      <c r="L9" s="28"/>
      <c r="M9" s="28"/>
      <c r="N9" s="28"/>
      <c r="O9" s="29"/>
      <c r="P9" s="28"/>
    </row>
    <row r="10" spans="1:16" x14ac:dyDescent="0.25">
      <c r="A10" s="30" t="s">
        <v>43</v>
      </c>
      <c r="B10" s="31" t="s">
        <v>44</v>
      </c>
      <c r="C10" s="90" t="s">
        <v>45</v>
      </c>
      <c r="D10" s="32"/>
      <c r="E10" s="32"/>
      <c r="F10" s="33">
        <v>1</v>
      </c>
      <c r="G10" s="32">
        <f>F10*E10</f>
        <v>0</v>
      </c>
      <c r="H10" s="32"/>
      <c r="I10" s="32"/>
      <c r="J10" s="32"/>
      <c r="K10" s="32"/>
      <c r="L10" s="32"/>
      <c r="M10" s="32"/>
      <c r="N10" s="32"/>
      <c r="O10" s="34"/>
      <c r="P10" s="35" t="s">
        <v>46</v>
      </c>
    </row>
    <row r="11" spans="1:16" x14ac:dyDescent="0.25">
      <c r="A11" s="36"/>
      <c r="B11" s="37" t="s">
        <v>47</v>
      </c>
      <c r="C11" s="111"/>
      <c r="D11" s="38"/>
      <c r="E11" s="38" t="s">
        <v>48</v>
      </c>
      <c r="F11" s="39"/>
      <c r="G11" s="38"/>
      <c r="H11" s="38" t="s">
        <v>49</v>
      </c>
      <c r="I11" s="40">
        <v>113208.87239999999</v>
      </c>
      <c r="J11" s="40">
        <v>6500</v>
      </c>
      <c r="K11" s="40">
        <v>4300</v>
      </c>
      <c r="L11" s="41">
        <v>0</v>
      </c>
      <c r="M11" s="40">
        <v>0</v>
      </c>
      <c r="N11" s="38"/>
      <c r="O11" s="42"/>
      <c r="P11" s="43"/>
    </row>
    <row r="12" spans="1:16" x14ac:dyDescent="0.25">
      <c r="A12" s="36"/>
      <c r="B12" s="37" t="s">
        <v>50</v>
      </c>
      <c r="C12" s="111"/>
      <c r="D12" s="38"/>
      <c r="E12" s="38" t="s">
        <v>51</v>
      </c>
      <c r="F12" s="39"/>
      <c r="G12" s="38"/>
      <c r="H12" s="38" t="s">
        <v>49</v>
      </c>
      <c r="I12" s="38"/>
      <c r="J12" s="38"/>
      <c r="K12" s="38"/>
      <c r="L12" s="38"/>
      <c r="M12" s="38"/>
      <c r="N12" s="38"/>
      <c r="O12" s="42"/>
      <c r="P12" s="43"/>
    </row>
    <row r="13" spans="1:16" x14ac:dyDescent="0.25">
      <c r="A13" s="30" t="s">
        <v>52</v>
      </c>
      <c r="B13" s="31" t="s">
        <v>53</v>
      </c>
      <c r="C13" s="112"/>
      <c r="D13" s="32">
        <v>490514.4539238346</v>
      </c>
      <c r="E13" s="32">
        <v>490514.4539238346</v>
      </c>
      <c r="F13" s="33">
        <v>1</v>
      </c>
      <c r="G13" s="32">
        <f>F13*E13</f>
        <v>490514.4539238346</v>
      </c>
      <c r="H13" s="32"/>
      <c r="I13" s="32"/>
      <c r="J13" s="32"/>
      <c r="K13" s="32"/>
      <c r="L13" s="32"/>
      <c r="M13" s="32"/>
      <c r="N13" s="32"/>
      <c r="O13" s="34"/>
      <c r="P13" s="35"/>
    </row>
    <row r="14" spans="1:16" x14ac:dyDescent="0.25">
      <c r="A14" s="23" t="s">
        <v>54</v>
      </c>
      <c r="B14" s="24" t="s">
        <v>55</v>
      </c>
      <c r="C14" s="25"/>
      <c r="D14" s="26">
        <f>SUBTOTAL(9,D15:D16)</f>
        <v>414604.34687999985</v>
      </c>
      <c r="E14" s="26">
        <f>SUBTOTAL(9,E15:E16)</f>
        <v>414604.34687999985</v>
      </c>
      <c r="F14" s="27"/>
      <c r="G14" s="26">
        <f>SUBTOTAL(9,G15:G16)</f>
        <v>414604.34687999985</v>
      </c>
      <c r="H14" s="28"/>
      <c r="I14" s="28"/>
      <c r="J14" s="28"/>
      <c r="K14" s="28"/>
      <c r="L14" s="28"/>
      <c r="M14" s="28"/>
      <c r="N14" s="28"/>
      <c r="O14" s="29"/>
      <c r="P14" s="28"/>
    </row>
    <row r="15" spans="1:16" x14ac:dyDescent="0.25">
      <c r="A15" s="30" t="s">
        <v>43</v>
      </c>
      <c r="B15" s="31" t="s">
        <v>44</v>
      </c>
      <c r="C15" s="90" t="s">
        <v>56</v>
      </c>
      <c r="D15" s="32">
        <v>41460.434687999987</v>
      </c>
      <c r="E15" s="32">
        <v>41460.434687999987</v>
      </c>
      <c r="F15" s="33">
        <v>1</v>
      </c>
      <c r="G15" s="32">
        <f>F15*E15</f>
        <v>41460.434687999987</v>
      </c>
      <c r="H15" s="32"/>
      <c r="I15" s="32"/>
      <c r="J15" s="32"/>
      <c r="K15" s="32"/>
      <c r="L15" s="32"/>
      <c r="M15" s="32"/>
      <c r="N15" s="32"/>
      <c r="O15" s="34"/>
      <c r="P15" s="35" t="s">
        <v>46</v>
      </c>
    </row>
    <row r="16" spans="1:16" x14ac:dyDescent="0.25">
      <c r="A16" s="30" t="s">
        <v>52</v>
      </c>
      <c r="B16" s="31" t="s">
        <v>53</v>
      </c>
      <c r="C16" s="112"/>
      <c r="D16" s="32">
        <v>373143.91219199984</v>
      </c>
      <c r="E16" s="32">
        <v>373143.91219199984</v>
      </c>
      <c r="F16" s="33">
        <v>1</v>
      </c>
      <c r="G16" s="32">
        <f>F16*E16</f>
        <v>373143.91219199984</v>
      </c>
      <c r="H16" s="32"/>
      <c r="I16" s="32"/>
      <c r="J16" s="32"/>
      <c r="K16" s="32"/>
      <c r="L16" s="32"/>
      <c r="M16" s="32"/>
      <c r="N16" s="32"/>
      <c r="O16" s="34"/>
      <c r="P16" s="35"/>
    </row>
    <row r="17" spans="1:16" x14ac:dyDescent="0.25">
      <c r="A17" s="23" t="s">
        <v>57</v>
      </c>
      <c r="B17" s="24" t="s">
        <v>58</v>
      </c>
      <c r="C17" s="25"/>
      <c r="D17" s="26">
        <f>SUBTOTAL(9,D18:D32)</f>
        <v>1448839.7901088072</v>
      </c>
      <c r="E17" s="26">
        <f>SUBTOTAL(9,E18:E32)</f>
        <v>1448839.7901088072</v>
      </c>
      <c r="F17" s="27"/>
      <c r="G17" s="26">
        <f>SUBTOTAL(9,G18:G32)</f>
        <v>1270850.9516356059</v>
      </c>
      <c r="H17" s="28"/>
      <c r="I17" s="28"/>
      <c r="J17" s="28"/>
      <c r="K17" s="28"/>
      <c r="L17" s="28"/>
      <c r="M17" s="28"/>
      <c r="N17" s="28"/>
      <c r="O17" s="29"/>
      <c r="P17" s="28"/>
    </row>
    <row r="18" spans="1:16" x14ac:dyDescent="0.25">
      <c r="A18" s="30" t="s">
        <v>43</v>
      </c>
      <c r="B18" s="31" t="s">
        <v>44</v>
      </c>
      <c r="C18" s="90" t="s">
        <v>59</v>
      </c>
      <c r="D18" s="32">
        <v>24682.097011410162</v>
      </c>
      <c r="E18" s="32">
        <v>24682.097011410162</v>
      </c>
      <c r="F18" s="33">
        <v>1</v>
      </c>
      <c r="G18" s="32">
        <f t="shared" ref="G18:G31" si="0">F18*E18</f>
        <v>24682.097011410162</v>
      </c>
      <c r="H18" s="32"/>
      <c r="I18" s="32"/>
      <c r="J18" s="32"/>
      <c r="K18" s="32"/>
      <c r="L18" s="32"/>
      <c r="M18" s="32"/>
      <c r="N18" s="32"/>
      <c r="O18" s="34"/>
      <c r="P18" s="35" t="s">
        <v>46</v>
      </c>
    </row>
    <row r="19" spans="1:16" x14ac:dyDescent="0.25">
      <c r="A19" s="30" t="s">
        <v>52</v>
      </c>
      <c r="B19" s="31" t="s">
        <v>53</v>
      </c>
      <c r="C19" s="91"/>
      <c r="D19" s="32">
        <v>222138.87310269146</v>
      </c>
      <c r="E19" s="32">
        <v>222138.87310269146</v>
      </c>
      <c r="F19" s="33">
        <v>1</v>
      </c>
      <c r="G19" s="32">
        <f t="shared" si="0"/>
        <v>222138.87310269146</v>
      </c>
      <c r="H19" s="32"/>
      <c r="I19" s="32"/>
      <c r="J19" s="32"/>
      <c r="K19" s="32"/>
      <c r="L19" s="32"/>
      <c r="M19" s="32"/>
      <c r="N19" s="32"/>
      <c r="O19" s="34"/>
      <c r="P19" s="35"/>
    </row>
    <row r="20" spans="1:16" x14ac:dyDescent="0.25">
      <c r="A20" s="30" t="s">
        <v>60</v>
      </c>
      <c r="B20" s="31" t="s">
        <v>44</v>
      </c>
      <c r="C20" s="90" t="s">
        <v>61</v>
      </c>
      <c r="D20" s="32">
        <v>29765.70742302572</v>
      </c>
      <c r="E20" s="32">
        <v>29765.70742302572</v>
      </c>
      <c r="F20" s="33">
        <v>1</v>
      </c>
      <c r="G20" s="32">
        <f t="shared" si="0"/>
        <v>29765.70742302572</v>
      </c>
      <c r="H20" s="32"/>
      <c r="I20" s="32"/>
      <c r="J20" s="32"/>
      <c r="K20" s="32"/>
      <c r="L20" s="32"/>
      <c r="M20" s="32"/>
      <c r="N20" s="32"/>
      <c r="O20" s="34"/>
      <c r="P20" s="35"/>
    </row>
    <row r="21" spans="1:16" x14ac:dyDescent="0.25">
      <c r="A21" s="30" t="s">
        <v>62</v>
      </c>
      <c r="B21" s="31" t="s">
        <v>53</v>
      </c>
      <c r="C21" s="91"/>
      <c r="D21" s="32">
        <v>267891.3668072315</v>
      </c>
      <c r="E21" s="32">
        <v>267891.3668072315</v>
      </c>
      <c r="F21" s="33">
        <v>1</v>
      </c>
      <c r="G21" s="32">
        <f t="shared" si="0"/>
        <v>267891.3668072315</v>
      </c>
      <c r="H21" s="32"/>
      <c r="I21" s="32"/>
      <c r="J21" s="32"/>
      <c r="K21" s="32"/>
      <c r="L21" s="32"/>
      <c r="M21" s="32"/>
      <c r="N21" s="32"/>
      <c r="O21" s="34"/>
      <c r="P21" s="35"/>
    </row>
    <row r="22" spans="1:16" x14ac:dyDescent="0.25">
      <c r="A22" s="30" t="s">
        <v>63</v>
      </c>
      <c r="B22" s="31" t="s">
        <v>44</v>
      </c>
      <c r="C22" s="90" t="s">
        <v>64</v>
      </c>
      <c r="D22" s="32">
        <v>31785.715200000006</v>
      </c>
      <c r="E22" s="32">
        <v>31785.715200000006</v>
      </c>
      <c r="F22" s="33">
        <v>1</v>
      </c>
      <c r="G22" s="32">
        <f t="shared" si="0"/>
        <v>31785.715200000006</v>
      </c>
      <c r="H22" s="32"/>
      <c r="I22" s="32"/>
      <c r="J22" s="32"/>
      <c r="K22" s="32"/>
      <c r="L22" s="32"/>
      <c r="M22" s="32"/>
      <c r="N22" s="32"/>
      <c r="O22" s="34"/>
      <c r="P22" s="35"/>
    </row>
    <row r="23" spans="1:16" x14ac:dyDescent="0.25">
      <c r="A23" s="30" t="s">
        <v>65</v>
      </c>
      <c r="B23" s="31" t="s">
        <v>53</v>
      </c>
      <c r="C23" s="91"/>
      <c r="D23" s="32">
        <v>230088.864</v>
      </c>
      <c r="E23" s="32">
        <v>230088.864</v>
      </c>
      <c r="F23" s="33">
        <v>1</v>
      </c>
      <c r="G23" s="32">
        <f t="shared" si="0"/>
        <v>230088.864</v>
      </c>
      <c r="H23" s="32"/>
      <c r="I23" s="32"/>
      <c r="J23" s="32"/>
      <c r="K23" s="32"/>
      <c r="L23" s="32"/>
      <c r="M23" s="32"/>
      <c r="N23" s="32"/>
      <c r="O23" s="34"/>
      <c r="P23" s="35"/>
    </row>
    <row r="24" spans="1:16" x14ac:dyDescent="0.25">
      <c r="A24" s="30" t="s">
        <v>66</v>
      </c>
      <c r="B24" s="31" t="s">
        <v>44</v>
      </c>
      <c r="C24" s="90" t="s">
        <v>67</v>
      </c>
      <c r="D24" s="32">
        <v>49191.038320444837</v>
      </c>
      <c r="E24" s="32">
        <v>49191.038320444837</v>
      </c>
      <c r="F24" s="33">
        <v>1</v>
      </c>
      <c r="G24" s="32">
        <f t="shared" si="0"/>
        <v>49191.038320444837</v>
      </c>
      <c r="H24" s="32"/>
      <c r="I24" s="32"/>
      <c r="J24" s="32"/>
      <c r="K24" s="32"/>
      <c r="L24" s="32"/>
      <c r="M24" s="32"/>
      <c r="N24" s="32"/>
      <c r="O24" s="34"/>
      <c r="P24" s="35"/>
    </row>
    <row r="25" spans="1:16" x14ac:dyDescent="0.25">
      <c r="A25" s="30" t="s">
        <v>68</v>
      </c>
      <c r="B25" s="31" t="s">
        <v>53</v>
      </c>
      <c r="C25" s="91"/>
      <c r="D25" s="32">
        <v>442719.34488400351</v>
      </c>
      <c r="E25" s="32">
        <v>442719.34488400351</v>
      </c>
      <c r="F25" s="33">
        <v>0.7</v>
      </c>
      <c r="G25" s="32">
        <f t="shared" si="0"/>
        <v>309903.54141880246</v>
      </c>
      <c r="H25" s="32" t="s">
        <v>69</v>
      </c>
      <c r="I25" s="32"/>
      <c r="J25" s="32"/>
      <c r="K25" s="32"/>
      <c r="L25" s="32"/>
      <c r="M25" s="32"/>
      <c r="N25" s="32"/>
      <c r="O25" s="34"/>
      <c r="P25" s="35"/>
    </row>
    <row r="26" spans="1:16" x14ac:dyDescent="0.25">
      <c r="A26" s="30" t="s">
        <v>70</v>
      </c>
      <c r="B26" s="31" t="s">
        <v>44</v>
      </c>
      <c r="C26" s="90" t="s">
        <v>71</v>
      </c>
      <c r="D26" s="32">
        <v>652.27161600000011</v>
      </c>
      <c r="E26" s="32">
        <v>652.27161600000011</v>
      </c>
      <c r="F26" s="33">
        <v>0.7</v>
      </c>
      <c r="G26" s="32">
        <f t="shared" si="0"/>
        <v>456.59013120000003</v>
      </c>
      <c r="H26" s="32"/>
      <c r="I26" s="32"/>
      <c r="J26" s="32"/>
      <c r="K26" s="32"/>
      <c r="L26" s="32"/>
      <c r="M26" s="32"/>
      <c r="N26" s="32"/>
      <c r="O26" s="34"/>
      <c r="P26" s="35"/>
    </row>
    <row r="27" spans="1:16" x14ac:dyDescent="0.25">
      <c r="A27" s="30" t="s">
        <v>72</v>
      </c>
      <c r="B27" s="31" t="s">
        <v>53</v>
      </c>
      <c r="C27" s="91"/>
      <c r="D27" s="32">
        <v>5870.4445440000009</v>
      </c>
      <c r="E27" s="32">
        <v>5870.4445440000009</v>
      </c>
      <c r="F27" s="33">
        <v>0.7</v>
      </c>
      <c r="G27" s="32">
        <f t="shared" si="0"/>
        <v>4109.3111808000003</v>
      </c>
      <c r="H27" s="32"/>
      <c r="I27" s="32"/>
      <c r="J27" s="32"/>
      <c r="K27" s="32"/>
      <c r="L27" s="32"/>
      <c r="M27" s="32"/>
      <c r="N27" s="32"/>
      <c r="O27" s="34"/>
      <c r="P27" s="35"/>
    </row>
    <row r="28" spans="1:16" ht="17.45" customHeight="1" x14ac:dyDescent="0.25">
      <c r="A28" s="30" t="s">
        <v>73</v>
      </c>
      <c r="B28" s="31" t="s">
        <v>44</v>
      </c>
      <c r="C28" s="90" t="s">
        <v>74</v>
      </c>
      <c r="D28" s="32">
        <v>13905.28512</v>
      </c>
      <c r="E28" s="32">
        <v>13905.28512</v>
      </c>
      <c r="F28" s="33">
        <v>0.7</v>
      </c>
      <c r="G28" s="32">
        <f t="shared" si="0"/>
        <v>9733.699584</v>
      </c>
      <c r="H28" s="32"/>
      <c r="I28" s="32"/>
      <c r="J28" s="32"/>
      <c r="K28" s="32"/>
      <c r="L28" s="32"/>
      <c r="M28" s="32"/>
      <c r="N28" s="32"/>
      <c r="O28" s="34"/>
      <c r="P28" s="35"/>
    </row>
    <row r="29" spans="1:16" ht="16.149999999999999" customHeight="1" x14ac:dyDescent="0.25">
      <c r="A29" s="30" t="s">
        <v>75</v>
      </c>
      <c r="B29" s="31" t="s">
        <v>53</v>
      </c>
      <c r="C29" s="91"/>
      <c r="D29" s="32">
        <v>125147.56608</v>
      </c>
      <c r="E29" s="32">
        <v>125147.56608</v>
      </c>
      <c r="F29" s="33">
        <v>0.7</v>
      </c>
      <c r="G29" s="32">
        <f t="shared" si="0"/>
        <v>87603.296256000001</v>
      </c>
      <c r="H29" s="32"/>
      <c r="I29" s="32"/>
      <c r="J29" s="32"/>
      <c r="K29" s="32"/>
      <c r="L29" s="32"/>
      <c r="M29" s="32"/>
      <c r="N29" s="32"/>
      <c r="O29" s="34"/>
      <c r="P29" s="35"/>
    </row>
    <row r="30" spans="1:16" x14ac:dyDescent="0.25">
      <c r="A30" s="30" t="s">
        <v>76</v>
      </c>
      <c r="B30" s="31" t="s">
        <v>44</v>
      </c>
      <c r="C30" s="90" t="s">
        <v>77</v>
      </c>
      <c r="D30" s="32">
        <v>500.12160000000006</v>
      </c>
      <c r="E30" s="32">
        <v>500.12160000000006</v>
      </c>
      <c r="F30" s="33">
        <v>0.7</v>
      </c>
      <c r="G30" s="32">
        <f t="shared" si="0"/>
        <v>350.08512000000002</v>
      </c>
      <c r="H30" s="32"/>
      <c r="I30" s="32"/>
      <c r="J30" s="32"/>
      <c r="K30" s="32"/>
      <c r="L30" s="32"/>
      <c r="M30" s="32"/>
      <c r="N30" s="32"/>
      <c r="O30" s="34"/>
      <c r="P30" s="35"/>
    </row>
    <row r="31" spans="1:16" x14ac:dyDescent="0.25">
      <c r="A31" s="30" t="s">
        <v>78</v>
      </c>
      <c r="B31" s="31" t="s">
        <v>53</v>
      </c>
      <c r="C31" s="91"/>
      <c r="D31" s="32">
        <v>4501.0944</v>
      </c>
      <c r="E31" s="32">
        <v>4501.0944</v>
      </c>
      <c r="F31" s="33">
        <v>0.7</v>
      </c>
      <c r="G31" s="32">
        <f t="shared" si="0"/>
        <v>3150.7660799999999</v>
      </c>
      <c r="H31" s="32"/>
      <c r="I31" s="32"/>
      <c r="J31" s="32"/>
      <c r="K31" s="32"/>
      <c r="L31" s="32"/>
      <c r="M31" s="32"/>
      <c r="N31" s="32"/>
      <c r="O31" s="34"/>
      <c r="P31" s="35"/>
    </row>
    <row r="32" spans="1:16" x14ac:dyDescent="0.25">
      <c r="A32" s="30"/>
      <c r="B32" s="44"/>
      <c r="C32" s="45"/>
      <c r="D32" s="32"/>
      <c r="E32" s="32"/>
      <c r="F32" s="33"/>
      <c r="G32" s="32"/>
      <c r="H32" s="32"/>
      <c r="I32" s="32"/>
      <c r="J32" s="32"/>
      <c r="K32" s="32"/>
      <c r="L32" s="32"/>
      <c r="M32" s="32"/>
      <c r="N32" s="32"/>
      <c r="O32" s="34"/>
      <c r="P32" s="35"/>
    </row>
    <row r="33" spans="1:16" x14ac:dyDescent="0.25">
      <c r="A33" s="23" t="s">
        <v>79</v>
      </c>
      <c r="B33" s="24" t="s">
        <v>80</v>
      </c>
      <c r="C33" s="25"/>
      <c r="D33" s="26">
        <f>SUBTOTAL(9,D34:D40)</f>
        <v>2829293.5297193541</v>
      </c>
      <c r="E33" s="26">
        <f>SUBTOTAL(9,E34:E40)</f>
        <v>2829293.5297193541</v>
      </c>
      <c r="F33" s="27"/>
      <c r="G33" s="26">
        <f>SUBTOTAL(9,G34:G40)</f>
        <v>2079530.7443437248</v>
      </c>
      <c r="H33" s="28"/>
      <c r="I33" s="28"/>
      <c r="J33" s="28"/>
      <c r="K33" s="28"/>
      <c r="L33" s="28"/>
      <c r="M33" s="28"/>
      <c r="N33" s="28"/>
      <c r="O33" s="29"/>
      <c r="P33" s="28"/>
    </row>
    <row r="34" spans="1:16" x14ac:dyDescent="0.25">
      <c r="A34" s="30" t="s">
        <v>43</v>
      </c>
      <c r="B34" s="31" t="s">
        <v>44</v>
      </c>
      <c r="C34" s="90" t="s">
        <v>81</v>
      </c>
      <c r="D34" s="32">
        <v>164732.49047193537</v>
      </c>
      <c r="E34" s="32">
        <v>164732.49047193537</v>
      </c>
      <c r="F34" s="33">
        <v>0.73499999999999999</v>
      </c>
      <c r="G34" s="32">
        <f t="shared" ref="G34:G38" si="1">F34*E34</f>
        <v>121078.38049687249</v>
      </c>
      <c r="H34" s="32"/>
      <c r="I34" s="32"/>
      <c r="J34" s="32"/>
      <c r="K34" s="32"/>
      <c r="L34" s="32"/>
      <c r="M34" s="32"/>
      <c r="N34" s="32"/>
      <c r="O34" s="34"/>
      <c r="P34" s="35" t="s">
        <v>46</v>
      </c>
    </row>
    <row r="35" spans="1:16" x14ac:dyDescent="0.25">
      <c r="A35" s="30" t="s">
        <v>52</v>
      </c>
      <c r="B35" s="31" t="s">
        <v>53</v>
      </c>
      <c r="C35" s="91"/>
      <c r="D35" s="32">
        <v>1482592.4142474183</v>
      </c>
      <c r="E35" s="32">
        <v>1482592.4142474183</v>
      </c>
      <c r="F35" s="33">
        <v>0.73499999999999999</v>
      </c>
      <c r="G35" s="32">
        <f t="shared" si="1"/>
        <v>1089705.4244718524</v>
      </c>
      <c r="H35" s="32"/>
      <c r="I35" s="32"/>
      <c r="J35" s="32"/>
      <c r="K35" s="32"/>
      <c r="L35" s="32"/>
      <c r="M35" s="32"/>
      <c r="N35" s="32"/>
      <c r="O35" s="34"/>
      <c r="P35" s="35"/>
    </row>
    <row r="36" spans="1:16" x14ac:dyDescent="0.25">
      <c r="A36" s="30" t="s">
        <v>60</v>
      </c>
      <c r="B36" s="31" t="s">
        <v>44</v>
      </c>
      <c r="C36" s="90" t="s">
        <v>82</v>
      </c>
      <c r="D36" s="32">
        <v>112420.44450000001</v>
      </c>
      <c r="E36" s="32">
        <v>112420.44450000001</v>
      </c>
      <c r="F36" s="33">
        <v>0.73499999999999999</v>
      </c>
      <c r="G36" s="32">
        <f t="shared" si="1"/>
        <v>82629.026707500001</v>
      </c>
      <c r="H36" s="32"/>
      <c r="I36" s="32"/>
      <c r="J36" s="32"/>
      <c r="K36" s="32"/>
      <c r="L36" s="32"/>
      <c r="M36" s="32"/>
      <c r="N36" s="32"/>
      <c r="O36" s="34"/>
      <c r="P36" s="35"/>
    </row>
    <row r="37" spans="1:16" x14ac:dyDescent="0.25">
      <c r="A37" s="30" t="s">
        <v>62</v>
      </c>
      <c r="B37" s="31" t="s">
        <v>53</v>
      </c>
      <c r="C37" s="91"/>
      <c r="D37" s="32">
        <v>1011784.0005000001</v>
      </c>
      <c r="E37" s="32">
        <v>1011784.0005000001</v>
      </c>
      <c r="F37" s="33">
        <v>0.73499999999999999</v>
      </c>
      <c r="G37" s="32">
        <f t="shared" si="1"/>
        <v>743661.2403675</v>
      </c>
      <c r="H37" s="32"/>
      <c r="I37" s="32"/>
      <c r="J37" s="32"/>
      <c r="K37" s="32"/>
      <c r="L37" s="32"/>
      <c r="M37" s="32"/>
      <c r="N37" s="32"/>
      <c r="O37" s="34"/>
      <c r="P37" s="35"/>
    </row>
    <row r="38" spans="1:16" x14ac:dyDescent="0.25">
      <c r="A38" s="30" t="s">
        <v>63</v>
      </c>
      <c r="B38" s="31" t="s">
        <v>44</v>
      </c>
      <c r="C38" s="90" t="s">
        <v>83</v>
      </c>
      <c r="D38" s="32">
        <v>5776.4179999999997</v>
      </c>
      <c r="E38" s="32">
        <v>5776.4179999999997</v>
      </c>
      <c r="F38" s="33">
        <v>0.73499999999999999</v>
      </c>
      <c r="G38" s="32">
        <f t="shared" si="1"/>
        <v>4245.66723</v>
      </c>
      <c r="H38" s="32"/>
      <c r="I38" s="32"/>
      <c r="J38" s="32"/>
      <c r="K38" s="32"/>
      <c r="L38" s="32"/>
      <c r="M38" s="32"/>
      <c r="N38" s="32"/>
      <c r="O38" s="34"/>
      <c r="P38" s="35"/>
    </row>
    <row r="39" spans="1:16" x14ac:dyDescent="0.25">
      <c r="A39" s="30" t="s">
        <v>65</v>
      </c>
      <c r="B39" s="31" t="s">
        <v>53</v>
      </c>
      <c r="C39" s="91"/>
      <c r="D39" s="32">
        <v>51987.762000000002</v>
      </c>
      <c r="E39" s="32">
        <v>51987.762000000002</v>
      </c>
      <c r="F39" s="33">
        <v>0.73499999999999999</v>
      </c>
      <c r="G39" s="32">
        <f>F39*E39</f>
        <v>38211.005069999999</v>
      </c>
      <c r="H39" s="32"/>
      <c r="I39" s="32"/>
      <c r="J39" s="32"/>
      <c r="K39" s="32"/>
      <c r="L39" s="32"/>
      <c r="M39" s="32"/>
      <c r="N39" s="32"/>
      <c r="O39" s="34"/>
      <c r="P39" s="35"/>
    </row>
    <row r="40" spans="1:16" x14ac:dyDescent="0.25">
      <c r="A40" s="30"/>
      <c r="B40" s="44"/>
      <c r="C40" s="45"/>
      <c r="D40" s="32"/>
      <c r="E40" s="32"/>
      <c r="F40" s="33"/>
      <c r="G40" s="32"/>
      <c r="H40" s="32"/>
      <c r="I40" s="32"/>
      <c r="J40" s="32"/>
      <c r="K40" s="32"/>
      <c r="L40" s="32"/>
      <c r="M40" s="32"/>
      <c r="N40" s="32"/>
      <c r="O40" s="34"/>
      <c r="P40" s="35"/>
    </row>
    <row r="41" spans="1:16" x14ac:dyDescent="0.25">
      <c r="A41" s="46"/>
      <c r="B41" s="47" t="s">
        <v>84</v>
      </c>
      <c r="C41" s="48" t="s">
        <v>84</v>
      </c>
      <c r="D41" s="49">
        <f>SUBTOTAL(9,D9:D40)</f>
        <v>5183252.1206319947</v>
      </c>
      <c r="E41" s="49">
        <f>SUBTOTAL(9,E9:E40)</f>
        <v>5183252.1206319947</v>
      </c>
      <c r="F41" s="50">
        <f>G41/E41</f>
        <v>0.82100974402616778</v>
      </c>
      <c r="G41" s="49">
        <f>SUBTOTAL(9,G9:G40)</f>
        <v>4255500.4967831653</v>
      </c>
      <c r="H41" s="40">
        <v>4518702.6544999992</v>
      </c>
      <c r="I41" s="40">
        <v>176500.49039999998</v>
      </c>
      <c r="J41" s="40">
        <v>6750</v>
      </c>
      <c r="K41" s="40">
        <v>4500</v>
      </c>
      <c r="L41" s="41">
        <v>0</v>
      </c>
      <c r="M41" s="40">
        <v>0</v>
      </c>
      <c r="N41" s="40">
        <v>0</v>
      </c>
      <c r="O41" s="40">
        <f>H41-G41-I41-J41-K41-M41</f>
        <v>75451.667316834006</v>
      </c>
      <c r="P41" s="40"/>
    </row>
    <row r="42" spans="1:16" x14ac:dyDescent="0.25">
      <c r="A42" s="51"/>
      <c r="B42" s="52"/>
      <c r="C42" s="53"/>
      <c r="D42" s="52"/>
      <c r="E42" s="52"/>
      <c r="F42" s="54"/>
      <c r="G42" s="52"/>
      <c r="H42" s="52"/>
      <c r="I42" s="52"/>
      <c r="J42" s="52"/>
      <c r="K42" s="52"/>
      <c r="L42" s="52"/>
      <c r="M42" s="52"/>
      <c r="N42" s="52"/>
      <c r="O42" s="52"/>
      <c r="P42" s="51"/>
    </row>
    <row r="43" spans="1:16" x14ac:dyDescent="0.25">
      <c r="A43" s="51"/>
      <c r="B43" s="55" t="s">
        <v>85</v>
      </c>
      <c r="C43" s="56"/>
      <c r="D43" s="55"/>
      <c r="E43" s="52"/>
      <c r="F43" s="54"/>
      <c r="G43" s="52"/>
      <c r="H43" s="57"/>
      <c r="I43" s="52"/>
      <c r="J43" s="52"/>
      <c r="K43" s="52"/>
      <c r="L43" s="58"/>
      <c r="M43" s="52"/>
      <c r="N43" s="52"/>
      <c r="O43" s="52"/>
      <c r="P43" s="51"/>
    </row>
    <row r="44" spans="1:16" x14ac:dyDescent="0.25">
      <c r="A44" s="51"/>
      <c r="B44" s="59" t="s">
        <v>86</v>
      </c>
      <c r="C44" s="60">
        <f>(H41-I41-J41)-G41+K41 -M41</f>
        <v>84451.667316834442</v>
      </c>
      <c r="D44" s="59" t="s">
        <v>87</v>
      </c>
      <c r="E44" s="61"/>
      <c r="F44" s="61"/>
      <c r="G44" s="61"/>
      <c r="H44" s="61"/>
      <c r="I44" s="61"/>
      <c r="J44" s="61"/>
      <c r="K44" s="61"/>
      <c r="L44" s="62"/>
      <c r="M44" s="52"/>
      <c r="N44" s="52"/>
      <c r="O44" s="52"/>
      <c r="P44" s="51"/>
    </row>
    <row r="45" spans="1:16" x14ac:dyDescent="0.25">
      <c r="A45" s="51"/>
      <c r="B45" s="63" t="s">
        <v>88</v>
      </c>
      <c r="C45" s="64">
        <f>C44/G41</f>
        <v>1.9845296077552681E-2</v>
      </c>
      <c r="D45" s="63"/>
      <c r="E45" s="65"/>
      <c r="F45" s="66"/>
      <c r="G45" s="65"/>
      <c r="H45" s="67"/>
      <c r="I45" s="67"/>
      <c r="J45" s="67"/>
      <c r="K45" s="67"/>
      <c r="L45" s="62"/>
      <c r="M45" s="52"/>
      <c r="N45" s="52"/>
      <c r="O45" s="52"/>
      <c r="P45" s="51"/>
    </row>
    <row r="46" spans="1:16" x14ac:dyDescent="0.25">
      <c r="A46" s="51"/>
      <c r="B46" s="52"/>
      <c r="C46" s="53"/>
      <c r="D46" s="52"/>
      <c r="E46" s="52"/>
      <c r="F46" s="54"/>
      <c r="G46" s="52"/>
      <c r="H46" s="52"/>
      <c r="I46" s="52"/>
      <c r="J46" s="52"/>
      <c r="K46" s="52"/>
      <c r="L46" s="52"/>
      <c r="M46" s="52"/>
      <c r="N46" s="52"/>
      <c r="O46" s="52"/>
      <c r="P46" s="51"/>
    </row>
    <row r="47" spans="1:16" x14ac:dyDescent="0.25">
      <c r="A47" s="68"/>
      <c r="B47" s="69" t="s">
        <v>89</v>
      </c>
      <c r="C47" s="70" t="s">
        <v>90</v>
      </c>
      <c r="D47" s="70"/>
      <c r="E47" s="68"/>
      <c r="F47" s="68"/>
      <c r="G47" s="68"/>
      <c r="H47" s="68"/>
      <c r="I47" s="71"/>
      <c r="J47" s="70"/>
      <c r="K47" s="68"/>
      <c r="L47" s="68"/>
      <c r="M47" s="68"/>
      <c r="N47" s="68"/>
      <c r="O47" s="68"/>
      <c r="P47" s="68"/>
    </row>
    <row r="48" spans="1:16" x14ac:dyDescent="0.25">
      <c r="A48" s="68"/>
      <c r="B48" s="68"/>
      <c r="C48" s="70" t="s">
        <v>91</v>
      </c>
      <c r="D48" s="70"/>
      <c r="E48" s="68"/>
      <c r="F48" s="68"/>
      <c r="G48" s="68"/>
      <c r="H48" s="68"/>
      <c r="I48" s="71"/>
      <c r="J48" s="70"/>
      <c r="K48" s="68"/>
      <c r="L48" s="68"/>
      <c r="M48" s="68"/>
      <c r="N48" s="68"/>
      <c r="O48" s="68"/>
      <c r="P48" s="68"/>
    </row>
    <row r="49" spans="1:16" x14ac:dyDescent="0.25">
      <c r="A49" s="68"/>
      <c r="B49" s="68"/>
      <c r="C49" s="70" t="s">
        <v>92</v>
      </c>
      <c r="D49" s="70"/>
      <c r="E49" s="68"/>
      <c r="F49" s="68"/>
      <c r="G49" s="68"/>
      <c r="H49" s="68"/>
      <c r="I49" s="71"/>
      <c r="J49" s="70"/>
      <c r="K49" s="68"/>
      <c r="L49" s="68"/>
      <c r="M49" s="68"/>
      <c r="N49" s="68"/>
      <c r="O49" s="68"/>
      <c r="P49" s="68"/>
    </row>
    <row r="50" spans="1:16" x14ac:dyDescent="0.25">
      <c r="A50" s="68"/>
      <c r="B50" s="68"/>
      <c r="C50" s="70" t="s">
        <v>93</v>
      </c>
      <c r="D50" s="70"/>
      <c r="E50" s="68"/>
      <c r="F50" s="68"/>
      <c r="G50" s="68"/>
      <c r="H50" s="68"/>
      <c r="I50" s="71"/>
      <c r="J50" s="70"/>
      <c r="K50" s="68"/>
      <c r="L50" s="68"/>
      <c r="M50" s="68"/>
      <c r="N50" s="68"/>
      <c r="O50" s="68"/>
      <c r="P50" s="68"/>
    </row>
    <row r="51" spans="1:16" x14ac:dyDescent="0.25">
      <c r="A51" s="68"/>
      <c r="B51" s="68"/>
      <c r="C51" s="70"/>
      <c r="D51" s="70"/>
      <c r="E51" s="68"/>
      <c r="F51" s="68"/>
      <c r="G51" s="68"/>
      <c r="H51" s="68"/>
      <c r="I51" s="71"/>
      <c r="J51" s="70"/>
      <c r="K51" s="68"/>
      <c r="L51" s="68"/>
      <c r="M51" s="68"/>
      <c r="N51" s="68"/>
      <c r="O51" s="68"/>
      <c r="P51" s="68"/>
    </row>
    <row r="52" spans="1:16" x14ac:dyDescent="0.25">
      <c r="A52" s="68"/>
      <c r="B52" s="68"/>
      <c r="C52" s="70"/>
      <c r="D52" s="70"/>
      <c r="E52" s="68"/>
      <c r="F52" s="68"/>
      <c r="G52" s="68"/>
      <c r="H52" s="68"/>
      <c r="I52" s="71"/>
      <c r="J52" s="70"/>
      <c r="K52" s="68"/>
      <c r="L52" s="68"/>
      <c r="M52" s="68"/>
      <c r="N52" s="68"/>
      <c r="O52" s="68"/>
      <c r="P52" s="68"/>
    </row>
    <row r="53" spans="1:16" x14ac:dyDescent="0.25">
      <c r="A53" s="68"/>
      <c r="B53" s="68"/>
      <c r="C53" s="70"/>
      <c r="D53" s="70"/>
      <c r="E53" s="68"/>
      <c r="F53" s="68"/>
      <c r="G53" s="68"/>
      <c r="H53" s="68"/>
      <c r="I53" s="71"/>
      <c r="J53" s="70"/>
      <c r="K53" s="68"/>
      <c r="L53" s="68"/>
      <c r="M53" s="68"/>
      <c r="N53" s="68"/>
      <c r="O53" s="68"/>
      <c r="P53" s="68"/>
    </row>
    <row r="54" spans="1:16" x14ac:dyDescent="0.25">
      <c r="A54" s="68"/>
      <c r="B54" s="68"/>
      <c r="C54" s="70"/>
      <c r="D54" s="70"/>
      <c r="E54" s="68"/>
      <c r="F54" s="68"/>
      <c r="G54" s="68"/>
      <c r="H54" s="68"/>
      <c r="I54" s="71"/>
      <c r="J54" s="70"/>
      <c r="K54" s="68"/>
      <c r="L54" s="68"/>
      <c r="M54" s="68"/>
      <c r="N54" s="68"/>
      <c r="O54" s="68"/>
      <c r="P54" s="68"/>
    </row>
    <row r="55" spans="1:16" x14ac:dyDescent="0.25">
      <c r="A55" s="51"/>
      <c r="B55" s="52"/>
      <c r="C55" s="113" t="s">
        <v>94</v>
      </c>
      <c r="D55" s="113"/>
      <c r="E55" s="113"/>
      <c r="F55" s="72"/>
      <c r="G55" s="73"/>
      <c r="H55" s="113" t="s">
        <v>95</v>
      </c>
      <c r="I55" s="113"/>
      <c r="J55" s="113"/>
      <c r="K55" s="74"/>
      <c r="L55" s="73"/>
      <c r="M55" s="113" t="s">
        <v>96</v>
      </c>
      <c r="N55" s="113"/>
      <c r="O55" s="113"/>
      <c r="P55" s="51"/>
    </row>
    <row r="56" spans="1:16" x14ac:dyDescent="0.25">
      <c r="A56" s="51"/>
      <c r="B56" s="52"/>
      <c r="C56" s="53"/>
      <c r="D56" s="52"/>
      <c r="E56" s="52"/>
      <c r="F56" s="54"/>
      <c r="G56" s="52"/>
      <c r="H56" s="52"/>
      <c r="I56" s="52"/>
      <c r="J56" s="52"/>
      <c r="K56" s="52"/>
      <c r="L56" s="52"/>
      <c r="M56" s="52"/>
      <c r="N56" s="52"/>
      <c r="O56" s="52"/>
      <c r="P56" s="51"/>
    </row>
    <row r="57" spans="1:16" x14ac:dyDescent="0.25">
      <c r="A57" s="51"/>
      <c r="B57" s="52"/>
      <c r="C57" s="53"/>
      <c r="D57" s="52"/>
      <c r="E57" s="52"/>
      <c r="F57" s="54"/>
      <c r="G57" s="52"/>
      <c r="H57" s="52"/>
      <c r="I57" s="52"/>
      <c r="J57" s="52"/>
      <c r="K57" s="52"/>
      <c r="L57" s="52"/>
      <c r="M57" s="52"/>
      <c r="N57" s="52"/>
      <c r="O57" s="52"/>
      <c r="P57" s="51"/>
    </row>
    <row r="58" spans="1:16" x14ac:dyDescent="0.25">
      <c r="A58" s="51"/>
      <c r="B58" s="52"/>
      <c r="C58" s="53"/>
      <c r="D58" s="52"/>
      <c r="E58" s="52"/>
      <c r="F58" s="54"/>
      <c r="G58" s="52"/>
      <c r="H58" s="57"/>
      <c r="I58" s="52"/>
      <c r="J58" s="52"/>
      <c r="K58" s="52"/>
      <c r="L58" s="52"/>
      <c r="M58" s="52"/>
      <c r="N58" s="52"/>
      <c r="O58" s="52"/>
      <c r="P58" s="51"/>
    </row>
  </sheetData>
  <mergeCells count="23">
    <mergeCell ref="C55:E55"/>
    <mergeCell ref="H55:J55"/>
    <mergeCell ref="M55:O55"/>
    <mergeCell ref="C26:C27"/>
    <mergeCell ref="C28:C29"/>
    <mergeCell ref="C30:C31"/>
    <mergeCell ref="C34:C35"/>
    <mergeCell ref="C36:C37"/>
    <mergeCell ref="C38:C39"/>
    <mergeCell ref="C24:C25"/>
    <mergeCell ref="A1:C4"/>
    <mergeCell ref="D4:P4"/>
    <mergeCell ref="A5:A7"/>
    <mergeCell ref="B5:C7"/>
    <mergeCell ref="D5:E5"/>
    <mergeCell ref="F5:K5"/>
    <mergeCell ref="L5:O5"/>
    <mergeCell ref="P5:P7"/>
    <mergeCell ref="C10:C13"/>
    <mergeCell ref="C15:C16"/>
    <mergeCell ref="C18:C19"/>
    <mergeCell ref="C20:C21"/>
    <mergeCell ref="C22:C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topLeftCell="C4" zoomScaleNormal="100" zoomScaleSheetLayoutView="100" workbookViewId="0">
      <selection activeCell="L7" sqref="L7"/>
    </sheetView>
  </sheetViews>
  <sheetFormatPr defaultColWidth="9.140625" defaultRowHeight="15" x14ac:dyDescent="0.25"/>
  <cols>
    <col min="1" max="1" width="7.7109375" style="79" customWidth="1"/>
    <col min="2" max="2" width="21" style="75" customWidth="1"/>
    <col min="3" max="3" width="37.42578125" style="80" customWidth="1"/>
    <col min="4" max="4" width="9.42578125" style="79" customWidth="1"/>
    <col min="5" max="6" width="12.5703125" style="83" customWidth="1"/>
    <col min="7" max="7" width="12.85546875" style="83" customWidth="1"/>
    <col min="8" max="8" width="13.5703125" style="86" customWidth="1"/>
    <col min="9" max="9" width="12.5703125" style="87" customWidth="1"/>
    <col min="10" max="11" width="14.85546875" style="83" customWidth="1"/>
    <col min="12" max="12" width="18.7109375" style="87" customWidth="1"/>
    <col min="13" max="13" width="18" style="87" customWidth="1"/>
    <col min="14" max="16384" width="9.140625" style="76"/>
  </cols>
  <sheetData>
    <row r="1" spans="1:13" s="75" customFormat="1" ht="28.5" customHeight="1" x14ac:dyDescent="0.25">
      <c r="A1" s="115"/>
      <c r="B1" s="115"/>
      <c r="C1" s="118" t="s">
        <v>124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1:13" s="75" customFormat="1" ht="27.75" customHeight="1" x14ac:dyDescent="0.25">
      <c r="A2" s="115"/>
      <c r="B2" s="115"/>
      <c r="C2" s="118" t="s">
        <v>125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3" s="75" customFormat="1" ht="27.75" customHeight="1" x14ac:dyDescent="0.25">
      <c r="A3" s="115"/>
      <c r="B3" s="115"/>
      <c r="C3" s="118" t="s">
        <v>126</v>
      </c>
      <c r="D3" s="118"/>
      <c r="E3" s="118"/>
      <c r="F3" s="118"/>
      <c r="G3" s="118"/>
      <c r="H3" s="118"/>
      <c r="I3" s="118"/>
      <c r="J3" s="118"/>
      <c r="K3" s="118"/>
      <c r="L3" s="118"/>
      <c r="M3" s="118"/>
    </row>
    <row r="4" spans="1:13" s="75" customFormat="1" ht="53.25" customHeight="1" x14ac:dyDescent="0.25">
      <c r="A4" s="115"/>
      <c r="B4" s="115"/>
      <c r="C4" s="124" t="s">
        <v>127</v>
      </c>
      <c r="D4" s="124"/>
      <c r="E4" s="124"/>
      <c r="F4" s="124"/>
      <c r="G4" s="124"/>
      <c r="H4" s="124"/>
      <c r="I4" s="124"/>
      <c r="J4" s="124"/>
      <c r="K4" s="124"/>
      <c r="L4" s="124"/>
      <c r="M4" s="124"/>
    </row>
    <row r="5" spans="1:13" ht="28.5" customHeight="1" x14ac:dyDescent="0.25">
      <c r="A5" s="114" t="s">
        <v>5</v>
      </c>
      <c r="B5" s="114" t="s">
        <v>102</v>
      </c>
      <c r="C5" s="114" t="s">
        <v>103</v>
      </c>
      <c r="D5" s="116" t="s">
        <v>104</v>
      </c>
      <c r="E5" s="125" t="s">
        <v>97</v>
      </c>
      <c r="F5" s="125"/>
      <c r="G5" s="114" t="s">
        <v>8</v>
      </c>
      <c r="H5" s="114"/>
      <c r="I5" s="114"/>
      <c r="J5" s="121" t="s">
        <v>38</v>
      </c>
      <c r="K5" s="122"/>
      <c r="L5" s="123"/>
      <c r="M5" s="119" t="s">
        <v>120</v>
      </c>
    </row>
    <row r="6" spans="1:13" ht="51" customHeight="1" x14ac:dyDescent="0.25">
      <c r="A6" s="114"/>
      <c r="B6" s="114"/>
      <c r="C6" s="114"/>
      <c r="D6" s="117"/>
      <c r="E6" s="81" t="s">
        <v>105</v>
      </c>
      <c r="F6" s="81" t="s">
        <v>106</v>
      </c>
      <c r="G6" s="81" t="s">
        <v>100</v>
      </c>
      <c r="H6" s="84" t="s">
        <v>98</v>
      </c>
      <c r="I6" s="81" t="s">
        <v>99</v>
      </c>
      <c r="J6" s="81" t="s">
        <v>101</v>
      </c>
      <c r="K6" s="81" t="s">
        <v>107</v>
      </c>
      <c r="L6" s="88" t="s">
        <v>33</v>
      </c>
      <c r="M6" s="120"/>
    </row>
    <row r="7" spans="1:13" ht="30" x14ac:dyDescent="0.25">
      <c r="A7" s="78" t="s">
        <v>116</v>
      </c>
      <c r="B7" s="78" t="s">
        <v>117</v>
      </c>
      <c r="C7" s="78" t="s">
        <v>118</v>
      </c>
      <c r="D7" s="77" t="s">
        <v>119</v>
      </c>
      <c r="E7" s="82" t="s">
        <v>108</v>
      </c>
      <c r="F7" s="82" t="s">
        <v>109</v>
      </c>
      <c r="G7" s="82" t="s">
        <v>110</v>
      </c>
      <c r="H7" s="85" t="s">
        <v>111</v>
      </c>
      <c r="I7" s="82" t="s">
        <v>115</v>
      </c>
      <c r="J7" s="82" t="s">
        <v>112</v>
      </c>
      <c r="K7" s="82" t="s">
        <v>113</v>
      </c>
      <c r="L7" s="89" t="s">
        <v>128</v>
      </c>
      <c r="M7" s="89" t="s">
        <v>114</v>
      </c>
    </row>
  </sheetData>
  <mergeCells count="13">
    <mergeCell ref="B5:B6"/>
    <mergeCell ref="A1:B4"/>
    <mergeCell ref="D5:D6"/>
    <mergeCell ref="A5:A6"/>
    <mergeCell ref="C5:C6"/>
    <mergeCell ref="C2:M2"/>
    <mergeCell ref="C1:M1"/>
    <mergeCell ref="M5:M6"/>
    <mergeCell ref="J5:L5"/>
    <mergeCell ref="C4:M4"/>
    <mergeCell ref="C3:M3"/>
    <mergeCell ref="E5:F5"/>
    <mergeCell ref="G5:I5"/>
  </mergeCells>
  <printOptions horizontalCentered="1"/>
  <pageMargins left="0.2" right="0.2" top="0.5" bottom="0.75" header="0.3" footer="0.3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THEO DOI HAO HUT THEO HANG MUC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Luan Ly</cp:lastModifiedBy>
  <cp:lastPrinted>2018-03-07T08:23:31Z</cp:lastPrinted>
  <dcterms:created xsi:type="dcterms:W3CDTF">2018-03-05T02:58:45Z</dcterms:created>
  <dcterms:modified xsi:type="dcterms:W3CDTF">2018-03-21T07:21:19Z</dcterms:modified>
</cp:coreProperties>
</file>